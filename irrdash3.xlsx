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joao.russo\Downloads\"/>
    </mc:Choice>
  </mc:AlternateContent>
  <xr:revisionPtr revIDLastSave="0" documentId="13_ncr:1_{C908AEC7-82CC-4456-83A8-B05AE34A37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dur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1" l="1"/>
  <c r="B48" i="1"/>
  <c r="B49" i="1" s="1"/>
  <c r="B50" i="1" s="1"/>
  <c r="B39" i="1"/>
  <c r="B40" i="1" s="1"/>
  <c r="B41" i="1" s="1"/>
  <c r="B42" i="1" s="1"/>
  <c r="B43" i="1" s="1"/>
  <c r="B44" i="1" s="1"/>
  <c r="B45" i="1" s="1"/>
  <c r="B46" i="1" s="1"/>
  <c r="B47" i="1" s="1"/>
  <c r="M13" i="1" l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L13" i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K13" i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</calcChain>
</file>

<file path=xl/sharedStrings.xml><?xml version="1.0" encoding="utf-8"?>
<sst xmlns="http://schemas.openxmlformats.org/spreadsheetml/2006/main" count="28" uniqueCount="17">
  <si>
    <t>EQTL3</t>
  </si>
  <si>
    <t>ENGI11</t>
  </si>
  <si>
    <t>SBSP3</t>
  </si>
  <si>
    <t>NEOE3</t>
  </si>
  <si>
    <t>ENEV3</t>
  </si>
  <si>
    <t>ELET3</t>
  </si>
  <si>
    <t>EGIE3</t>
  </si>
  <si>
    <t>MULT3</t>
  </si>
  <si>
    <t>IGTI11</t>
  </si>
  <si>
    <t>Mkt cap</t>
  </si>
  <si>
    <t>ALOS3</t>
  </si>
  <si>
    <t>Tickers</t>
  </si>
  <si>
    <t xml:space="preserve">Duration </t>
  </si>
  <si>
    <t>ELET6</t>
  </si>
  <si>
    <t>CPLE3</t>
  </si>
  <si>
    <t>AXIA3</t>
  </si>
  <si>
    <t>CSMG3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</si>
</sst>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Ebrima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98C2E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43" fontId="4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/>
    </xf>
    <xf numFmtId="10" fontId="0" fillId="0" borderId="0" xfId="0" applyNumberFormat="1"/>
    <xf numFmtId="164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0" fontId="1" fillId="3" borderId="0" xfId="0" applyFont="1" applyFill="1" applyAlignment="1">
      <alignment horizontal="center"/>
    </xf>
    <xf numFmtId="43" fontId="0" fillId="0" borderId="0" xfId="2" applyFont="1"/>
  </cellXfs>
  <cellStyles count="3">
    <cellStyle name="Comma" xfId="2" builtinId="3"/>
    <cellStyle name="Normal" xfId="0" builtinId="0"/>
    <cellStyle name="Normal 2" xfId="1" xr:uid="{996D8238-5879-4B1C-B12F-35C96EBCED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51"/>
  <sheetViews>
    <sheetView showGridLines="0" tabSelected="1" workbookViewId="0">
      <selection activeCell="N5" sqref="N5"/>
    </sheetView>
  </sheetViews>
  <sheetFormatPr defaultRowHeight="15" x14ac:dyDescent="0.25"/>
  <cols>
    <col min="4" max="4" width="10.140625" bestFit="1" customWidth="1"/>
    <col min="15" max="15" width="12.28515625" bestFit="1" customWidth="1"/>
  </cols>
  <sheetData>
    <row r="1" spans="2:16" x14ac:dyDescent="0.25">
      <c r="C1" s="3"/>
      <c r="D1" s="4"/>
      <c r="L1" s="3"/>
    </row>
    <row r="2" spans="2:16" x14ac:dyDescent="0.25">
      <c r="B2" s="1" t="s">
        <v>11</v>
      </c>
      <c r="C2" s="13" t="s">
        <v>14</v>
      </c>
      <c r="D2" s="2" t="s">
        <v>0</v>
      </c>
      <c r="E2" s="13" t="s">
        <v>1</v>
      </c>
      <c r="F2" s="2" t="s">
        <v>2</v>
      </c>
      <c r="G2" s="2" t="s">
        <v>3</v>
      </c>
      <c r="H2" s="2" t="s">
        <v>4</v>
      </c>
      <c r="I2" s="13" t="s">
        <v>13</v>
      </c>
      <c r="J2" s="2" t="s">
        <v>6</v>
      </c>
      <c r="K2" s="2" t="s">
        <v>7</v>
      </c>
      <c r="L2" s="13" t="s">
        <v>8</v>
      </c>
      <c r="M2" s="2" t="s">
        <v>10</v>
      </c>
      <c r="N2" s="2" t="s">
        <v>5</v>
      </c>
      <c r="O2" s="2" t="s">
        <v>15</v>
      </c>
      <c r="P2" s="2" t="s">
        <v>16</v>
      </c>
    </row>
    <row r="3" spans="2:16" x14ac:dyDescent="0.25">
      <c r="B3" s="1" t="s">
        <v>9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O3" s="14"/>
      <c r="P3" s="3"/>
    </row>
    <row r="4" spans="2:16" x14ac:dyDescent="0.25">
      <c r="B4" s="1">
        <v>2026</v>
      </c>
      <c r="C4" s="5">
        <v>2745.4364798654174</v>
      </c>
      <c r="D4" s="5">
        <v>906.20902652957579</v>
      </c>
      <c r="E4" s="5">
        <v>1423.5911688211188</v>
      </c>
      <c r="F4" s="5">
        <v>-3213.7582022461929</v>
      </c>
      <c r="G4" s="5"/>
      <c r="H4" s="5">
        <v>-33.369646499970202</v>
      </c>
      <c r="I4" s="5"/>
      <c r="J4" s="5">
        <v>2529.7503686473783</v>
      </c>
      <c r="K4" s="5">
        <v>954.45860804386211</v>
      </c>
      <c r="L4" s="5">
        <v>384.21253758543025</v>
      </c>
      <c r="M4" s="5">
        <v>1226.6329817372125</v>
      </c>
      <c r="N4" s="5"/>
      <c r="O4" s="5">
        <v>18154.283941990547</v>
      </c>
      <c r="P4" s="5">
        <v>782.53782767150824</v>
      </c>
    </row>
    <row r="5" spans="2:16" x14ac:dyDescent="0.25">
      <c r="B5" s="1">
        <f t="shared" ref="B5:B51" si="0">B4+1</f>
        <v>2027</v>
      </c>
      <c r="C5" s="5">
        <v>5030.9414324565514</v>
      </c>
      <c r="D5" s="5">
        <v>213.72116190750472</v>
      </c>
      <c r="E5" s="5">
        <v>836.48604610360985</v>
      </c>
      <c r="F5" s="5">
        <v>1992.5790328815574</v>
      </c>
      <c r="G5" s="5"/>
      <c r="H5" s="5">
        <v>945.79818646928391</v>
      </c>
      <c r="I5" s="5"/>
      <c r="J5" s="5">
        <v>4030.7434720901692</v>
      </c>
      <c r="K5" s="5">
        <v>1323.0224151276375</v>
      </c>
      <c r="L5" s="5">
        <v>681.59040551930434</v>
      </c>
      <c r="M5" s="5">
        <v>1314.4750719842391</v>
      </c>
      <c r="N5" s="5"/>
      <c r="O5" s="5">
        <v>17391.528727710025</v>
      </c>
      <c r="P5" s="5">
        <v>-388.56802401671359</v>
      </c>
    </row>
    <row r="6" spans="2:16" x14ac:dyDescent="0.25">
      <c r="B6" s="1">
        <f t="shared" si="0"/>
        <v>2028</v>
      </c>
      <c r="C6" s="5">
        <v>4878.854572172454</v>
      </c>
      <c r="D6" s="5">
        <v>-537.15129089311472</v>
      </c>
      <c r="E6" s="5">
        <v>1886.5332002018404</v>
      </c>
      <c r="F6" s="5">
        <v>7329.4140739717586</v>
      </c>
      <c r="G6" s="5"/>
      <c r="H6" s="5">
        <v>6557.9529398169179</v>
      </c>
      <c r="I6" s="5"/>
      <c r="J6" s="5">
        <v>3566.5249518951969</v>
      </c>
      <c r="K6" s="5">
        <v>1507.4723309960461</v>
      </c>
      <c r="L6" s="5">
        <v>872.03777354326485</v>
      </c>
      <c r="M6" s="5">
        <v>1582.1842275077693</v>
      </c>
      <c r="N6" s="5"/>
      <c r="O6" s="5">
        <v>17275.959006140532</v>
      </c>
      <c r="P6" s="5">
        <v>749.7765817929162</v>
      </c>
    </row>
    <row r="7" spans="2:16" x14ac:dyDescent="0.25">
      <c r="B7" s="1">
        <f t="shared" si="0"/>
        <v>2029</v>
      </c>
      <c r="C7" s="5">
        <v>4847.5209112119855</v>
      </c>
      <c r="D7" s="5">
        <v>1682.9507788822602</v>
      </c>
      <c r="E7" s="5">
        <v>2728.8526153584262</v>
      </c>
      <c r="F7" s="5">
        <v>5033.6896474707046</v>
      </c>
      <c r="G7" s="5"/>
      <c r="H7" s="5">
        <v>5530.0106092427113</v>
      </c>
      <c r="I7" s="5"/>
      <c r="J7" s="5">
        <v>4588.6153429819633</v>
      </c>
      <c r="K7" s="5">
        <v>1635.8695434730157</v>
      </c>
      <c r="L7" s="5">
        <v>877.4496011171874</v>
      </c>
      <c r="M7" s="5">
        <v>1741.7854333559026</v>
      </c>
      <c r="N7" s="5"/>
      <c r="O7" s="5">
        <v>16777.150311222227</v>
      </c>
      <c r="P7" s="5">
        <v>1128.9045609814541</v>
      </c>
    </row>
    <row r="8" spans="2:16" x14ac:dyDescent="0.25">
      <c r="B8" s="1">
        <f t="shared" si="0"/>
        <v>2030</v>
      </c>
      <c r="C8" s="5">
        <v>5160.437064035852</v>
      </c>
      <c r="D8" s="5">
        <v>5255.4599833798002</v>
      </c>
      <c r="E8" s="5">
        <v>1996.046006674206</v>
      </c>
      <c r="F8" s="5">
        <v>10151.841225696608</v>
      </c>
      <c r="G8" s="5"/>
      <c r="H8" s="5">
        <v>11999.358969708313</v>
      </c>
      <c r="I8" s="5"/>
      <c r="J8" s="5">
        <v>4875.0359796024486</v>
      </c>
      <c r="K8" s="5">
        <v>1746.0218707119739</v>
      </c>
      <c r="L8" s="5">
        <v>939.73174467553906</v>
      </c>
      <c r="M8" s="5">
        <v>1892.8027068433896</v>
      </c>
      <c r="N8" s="5"/>
      <c r="O8" s="5">
        <v>9464.9753720626159</v>
      </c>
      <c r="P8" s="5">
        <v>1097.1357449407799</v>
      </c>
    </row>
    <row r="9" spans="2:16" x14ac:dyDescent="0.25">
      <c r="B9" s="1">
        <f t="shared" si="0"/>
        <v>2031</v>
      </c>
      <c r="C9" s="5">
        <v>6196.4049493969596</v>
      </c>
      <c r="D9" s="5">
        <v>6296.2382546290301</v>
      </c>
      <c r="E9" s="5">
        <v>3040.4333366384258</v>
      </c>
      <c r="F9" s="5">
        <v>13047.902210151391</v>
      </c>
      <c r="G9" s="5"/>
      <c r="H9" s="5">
        <v>8502.3202806887894</v>
      </c>
      <c r="I9" s="5"/>
      <c r="J9" s="5">
        <v>4761.4819818872274</v>
      </c>
      <c r="K9" s="5">
        <v>1824.9420592681549</v>
      </c>
      <c r="L9" s="5">
        <v>982.20761953487329</v>
      </c>
      <c r="M9" s="5">
        <v>1978.3573891927106</v>
      </c>
      <c r="N9" s="5"/>
      <c r="O9" s="5">
        <v>18774.394370248789</v>
      </c>
      <c r="P9" s="5">
        <v>-1187.7051190379329</v>
      </c>
    </row>
    <row r="10" spans="2:16" x14ac:dyDescent="0.25">
      <c r="B10" s="1">
        <f t="shared" si="0"/>
        <v>2032</v>
      </c>
      <c r="C10" s="5">
        <v>6699.1790561707985</v>
      </c>
      <c r="D10" s="5">
        <v>8436.3555138061729</v>
      </c>
      <c r="E10" s="5">
        <v>3079.6282281473705</v>
      </c>
      <c r="F10" s="5">
        <v>16201.423462993538</v>
      </c>
      <c r="G10" s="5"/>
      <c r="H10" s="5">
        <v>11437.369803311882</v>
      </c>
      <c r="I10" s="5"/>
      <c r="J10" s="5">
        <v>4924.3243098120347</v>
      </c>
      <c r="K10" s="5">
        <v>1907.4294403470753</v>
      </c>
      <c r="L10" s="5">
        <v>1026.6034039378494</v>
      </c>
      <c r="M10" s="5">
        <v>2067.7791431842211</v>
      </c>
      <c r="N10" s="5"/>
      <c r="O10" s="5">
        <v>18793.920058919241</v>
      </c>
      <c r="P10" s="5">
        <v>3053.4660067585714</v>
      </c>
    </row>
    <row r="11" spans="2:16" x14ac:dyDescent="0.25">
      <c r="B11" s="1">
        <f t="shared" si="0"/>
        <v>2033</v>
      </c>
      <c r="C11" s="5">
        <v>6773.3605098858025</v>
      </c>
      <c r="D11" s="5">
        <v>6426.1269359699909</v>
      </c>
      <c r="E11" s="5">
        <v>3365.750967532942</v>
      </c>
      <c r="F11" s="5">
        <v>15709.19927115742</v>
      </c>
      <c r="G11" s="5"/>
      <c r="H11" s="5">
        <v>9367.1186753905276</v>
      </c>
      <c r="I11" s="5"/>
      <c r="J11" s="5">
        <v>4605.2258897465108</v>
      </c>
      <c r="K11" s="5">
        <v>1993.6452510507629</v>
      </c>
      <c r="L11" s="5">
        <v>1073.0058777958402</v>
      </c>
      <c r="M11" s="5">
        <v>2161.2427604561476</v>
      </c>
      <c r="N11" s="5"/>
      <c r="O11" s="5">
        <v>19546.493592582527</v>
      </c>
      <c r="P11" s="5">
        <v>4211.1594704752606</v>
      </c>
    </row>
    <row r="12" spans="2:16" x14ac:dyDescent="0.25">
      <c r="B12" s="1">
        <f t="shared" si="0"/>
        <v>2034</v>
      </c>
      <c r="C12" s="5">
        <v>6876.5340588649724</v>
      </c>
      <c r="D12" s="5">
        <v>12233.660674885701</v>
      </c>
      <c r="E12" s="5">
        <v>3998.2297037974399</v>
      </c>
      <c r="F12" s="5">
        <v>15868.98572730064</v>
      </c>
      <c r="G12" s="5"/>
      <c r="H12" s="5">
        <v>9452.1549622538696</v>
      </c>
      <c r="I12" s="5"/>
      <c r="J12" s="5">
        <v>4576.5670350656956</v>
      </c>
      <c r="K12" s="5">
        <v>2083.758016398257</v>
      </c>
      <c r="L12" s="5">
        <v>1121.5057434722121</v>
      </c>
      <c r="M12" s="5">
        <v>2258.9309332287653</v>
      </c>
      <c r="N12" s="5"/>
      <c r="O12" s="5">
        <v>22906.932338706727</v>
      </c>
      <c r="P12" s="5">
        <v>4624.3053049833024</v>
      </c>
    </row>
    <row r="13" spans="2:16" x14ac:dyDescent="0.25">
      <c r="B13" s="1">
        <f t="shared" si="0"/>
        <v>2035</v>
      </c>
      <c r="C13" s="5">
        <v>7138.8046805764006</v>
      </c>
      <c r="D13" s="5">
        <v>12659.045350191773</v>
      </c>
      <c r="E13" s="5">
        <v>3357.9892161586899</v>
      </c>
      <c r="F13" s="5">
        <v>12859.447589777848</v>
      </c>
      <c r="G13" s="5"/>
      <c r="H13" s="5">
        <v>9311.4050135036359</v>
      </c>
      <c r="I13" s="5"/>
      <c r="J13" s="5">
        <v>4690.9302019998759</v>
      </c>
      <c r="K13" s="5">
        <f>K12*1.045</f>
        <v>2177.5271271361785</v>
      </c>
      <c r="L13" s="5">
        <f>L12*1.045</f>
        <v>1171.9735019284615</v>
      </c>
      <c r="M13" s="5">
        <f>M12*1.045</f>
        <v>2360.5828252240594</v>
      </c>
      <c r="N13" s="5"/>
      <c r="O13" s="5">
        <v>19834.36756570905</v>
      </c>
      <c r="P13" s="5">
        <v>503.05313709281</v>
      </c>
    </row>
    <row r="14" spans="2:16" x14ac:dyDescent="0.25">
      <c r="B14" s="1">
        <f t="shared" si="0"/>
        <v>2036</v>
      </c>
      <c r="C14" s="5">
        <v>7109.0430282295492</v>
      </c>
      <c r="D14" s="5">
        <v>12306.414228418334</v>
      </c>
      <c r="E14" s="5">
        <v>3890.7284841014853</v>
      </c>
      <c r="F14" s="5">
        <v>14281.254281581185</v>
      </c>
      <c r="G14" s="5"/>
      <c r="H14" s="5">
        <v>8693.8319057996232</v>
      </c>
      <c r="I14" s="5"/>
      <c r="J14" s="5">
        <v>4015.893017098268</v>
      </c>
      <c r="K14" s="5">
        <f t="shared" ref="K14:M29" si="1">K13*1.045</f>
        <v>2275.5158478573062</v>
      </c>
      <c r="L14" s="5">
        <f t="shared" si="1"/>
        <v>1224.7123095152422</v>
      </c>
      <c r="M14" s="5">
        <f t="shared" si="1"/>
        <v>2466.8090523591418</v>
      </c>
      <c r="N14" s="5"/>
      <c r="O14" s="5">
        <v>23172.519693420705</v>
      </c>
      <c r="P14" s="5">
        <v>4783.1497191535946</v>
      </c>
    </row>
    <row r="15" spans="2:16" x14ac:dyDescent="0.25">
      <c r="B15" s="1">
        <f t="shared" si="0"/>
        <v>2037</v>
      </c>
      <c r="C15" s="5">
        <v>7185.1894287338318</v>
      </c>
      <c r="D15" s="5">
        <v>11046.719287529615</v>
      </c>
      <c r="E15" s="5">
        <v>3795.421343208634</v>
      </c>
      <c r="F15" s="5">
        <v>13964.375731795819</v>
      </c>
      <c r="G15" s="5"/>
      <c r="H15" s="5">
        <v>8205.6637070233555</v>
      </c>
      <c r="I15" s="5"/>
      <c r="J15" s="5">
        <v>4120.0479243237787</v>
      </c>
      <c r="K15" s="5">
        <f t="shared" si="1"/>
        <v>2377.9140610108848</v>
      </c>
      <c r="L15" s="5">
        <f t="shared" si="1"/>
        <v>1279.824363443428</v>
      </c>
      <c r="M15" s="5">
        <f t="shared" si="1"/>
        <v>2577.8154597153029</v>
      </c>
      <c r="N15" s="5"/>
      <c r="O15" s="5">
        <v>19093.968625236597</v>
      </c>
      <c r="P15" s="5">
        <v>4588.5834553379791</v>
      </c>
    </row>
    <row r="16" spans="2:16" x14ac:dyDescent="0.25">
      <c r="B16" s="1">
        <f t="shared" si="0"/>
        <v>2038</v>
      </c>
      <c r="C16" s="5">
        <v>7365.6208094844114</v>
      </c>
      <c r="D16" s="5">
        <v>10440.923640693254</v>
      </c>
      <c r="E16" s="5">
        <v>4241.1276645324469</v>
      </c>
      <c r="F16" s="5">
        <v>13764.32442047207</v>
      </c>
      <c r="G16" s="5"/>
      <c r="H16" s="5">
        <v>8017.5741443250281</v>
      </c>
      <c r="I16" s="5"/>
      <c r="J16" s="5">
        <v>4142.8664773663277</v>
      </c>
      <c r="K16" s="5">
        <f t="shared" si="1"/>
        <v>2484.9201937563744</v>
      </c>
      <c r="L16" s="5">
        <f t="shared" si="1"/>
        <v>1337.4164597983822</v>
      </c>
      <c r="M16" s="5">
        <f t="shared" si="1"/>
        <v>2693.8171554024916</v>
      </c>
      <c r="N16" s="5"/>
      <c r="O16" s="5">
        <v>19576.754547552948</v>
      </c>
      <c r="P16" s="5">
        <v>4916.5861203452214</v>
      </c>
    </row>
    <row r="17" spans="2:16" x14ac:dyDescent="0.25">
      <c r="B17" s="1">
        <f t="shared" si="0"/>
        <v>2039</v>
      </c>
      <c r="C17" s="5">
        <v>7508.1630455113282</v>
      </c>
      <c r="D17" s="5">
        <v>10200.965639970937</v>
      </c>
      <c r="E17" s="5">
        <v>4700.1076438236432</v>
      </c>
      <c r="F17" s="5">
        <v>9552.9699081411782</v>
      </c>
      <c r="G17" s="5"/>
      <c r="H17" s="5">
        <v>7137.4138366584875</v>
      </c>
      <c r="I17" s="5"/>
      <c r="J17" s="5">
        <v>2338.3601542388742</v>
      </c>
      <c r="K17" s="5">
        <f t="shared" si="1"/>
        <v>2596.7416024754111</v>
      </c>
      <c r="L17" s="5">
        <f t="shared" si="1"/>
        <v>1397.6002004893094</v>
      </c>
      <c r="M17" s="5">
        <f t="shared" si="1"/>
        <v>2815.0389273956034</v>
      </c>
      <c r="N17" s="5"/>
      <c r="O17" s="5">
        <v>21609.184046806968</v>
      </c>
      <c r="P17" s="5">
        <v>5019.9805142250516</v>
      </c>
    </row>
    <row r="18" spans="2:16" x14ac:dyDescent="0.25">
      <c r="B18" s="1">
        <f t="shared" si="0"/>
        <v>2040</v>
      </c>
      <c r="C18" s="5">
        <v>7491.1459400575186</v>
      </c>
      <c r="D18" s="5">
        <v>10955.139314314256</v>
      </c>
      <c r="E18" s="5">
        <v>4448.8476307615656</v>
      </c>
      <c r="F18" s="5">
        <v>13851.400921987946</v>
      </c>
      <c r="G18" s="5"/>
      <c r="H18" s="5">
        <v>8980.1275516973528</v>
      </c>
      <c r="I18" s="5"/>
      <c r="J18" s="5">
        <v>3377.490981355998</v>
      </c>
      <c r="K18" s="5">
        <f t="shared" si="1"/>
        <v>2713.5949745868043</v>
      </c>
      <c r="L18" s="5">
        <f t="shared" si="1"/>
        <v>1460.4922095113282</v>
      </c>
      <c r="M18" s="5">
        <f t="shared" si="1"/>
        <v>2941.7156791284056</v>
      </c>
      <c r="N18" s="5"/>
      <c r="O18" s="5">
        <v>15273.079896206038</v>
      </c>
      <c r="P18" s="5">
        <v>4920.7162956289676</v>
      </c>
    </row>
    <row r="19" spans="2:16" x14ac:dyDescent="0.25">
      <c r="B19" s="1">
        <f t="shared" si="0"/>
        <v>2041</v>
      </c>
      <c r="C19" s="5">
        <v>6692.2296027473712</v>
      </c>
      <c r="D19" s="5">
        <v>10440.615645595444</v>
      </c>
      <c r="E19" s="5">
        <v>4404.6638333651717</v>
      </c>
      <c r="F19" s="5">
        <v>14029.085554077283</v>
      </c>
      <c r="G19" s="5"/>
      <c r="H19" s="5">
        <v>5732.097419593264</v>
      </c>
      <c r="I19" s="5"/>
      <c r="J19" s="5">
        <v>2678.6739276184658</v>
      </c>
      <c r="K19" s="5">
        <f t="shared" si="1"/>
        <v>2835.7067484432105</v>
      </c>
      <c r="L19" s="5">
        <f t="shared" si="1"/>
        <v>1526.2143589393379</v>
      </c>
      <c r="M19" s="5">
        <f t="shared" si="1"/>
        <v>3074.0928846891834</v>
      </c>
      <c r="N19" s="5"/>
      <c r="O19" s="5">
        <v>21734.520070184193</v>
      </c>
      <c r="P19" s="5">
        <v>360.98095129417698</v>
      </c>
    </row>
    <row r="20" spans="2:16" x14ac:dyDescent="0.25">
      <c r="B20" s="1">
        <f t="shared" si="0"/>
        <v>2042</v>
      </c>
      <c r="C20" s="5">
        <v>10022.354780335389</v>
      </c>
      <c r="D20" s="5">
        <v>5481.5721552845898</v>
      </c>
      <c r="E20" s="5">
        <v>4322.8251616964926</v>
      </c>
      <c r="F20" s="5">
        <v>9217.1673925462674</v>
      </c>
      <c r="G20" s="5"/>
      <c r="H20" s="5">
        <v>5811.7509182271833</v>
      </c>
      <c r="I20" s="5"/>
      <c r="J20" s="5">
        <v>2584.6922920529951</v>
      </c>
      <c r="K20" s="5">
        <f t="shared" si="1"/>
        <v>2963.3135521231548</v>
      </c>
      <c r="L20" s="5">
        <f t="shared" si="1"/>
        <v>1594.8940050916081</v>
      </c>
      <c r="M20" s="5">
        <f t="shared" si="1"/>
        <v>3212.4270645001966</v>
      </c>
      <c r="N20" s="5"/>
      <c r="O20" s="5">
        <v>55786.383380606916</v>
      </c>
      <c r="P20" s="5">
        <v>5078.8990599726149</v>
      </c>
    </row>
    <row r="21" spans="2:16" x14ac:dyDescent="0.25">
      <c r="B21" s="1">
        <f t="shared" si="0"/>
        <v>2043</v>
      </c>
      <c r="C21" s="5">
        <v>5630.0233805802036</v>
      </c>
      <c r="D21" s="5">
        <v>5587.5251678781215</v>
      </c>
      <c r="E21" s="5">
        <v>4704.9869228474563</v>
      </c>
      <c r="F21" s="5">
        <v>8554.1344001208017</v>
      </c>
      <c r="G21" s="5"/>
      <c r="H21" s="5">
        <v>3757.2169130782177</v>
      </c>
      <c r="I21" s="5"/>
      <c r="J21" s="5">
        <v>2520.1933975248608</v>
      </c>
      <c r="K21" s="5">
        <f t="shared" si="1"/>
        <v>3096.6626619686963</v>
      </c>
      <c r="L21" s="5">
        <f t="shared" si="1"/>
        <v>1666.6642353207303</v>
      </c>
      <c r="M21" s="5">
        <f t="shared" si="1"/>
        <v>3356.986282402705</v>
      </c>
      <c r="N21" s="5"/>
      <c r="O21" s="5">
        <v>40989.969935024616</v>
      </c>
      <c r="P21" s="5">
        <v>5003.3144333855935</v>
      </c>
    </row>
    <row r="22" spans="2:16" x14ac:dyDescent="0.25">
      <c r="B22" s="1">
        <f t="shared" si="0"/>
        <v>2044</v>
      </c>
      <c r="C22" s="5">
        <v>5640.800647683538</v>
      </c>
      <c r="D22" s="5">
        <v>7773.5078665300134</v>
      </c>
      <c r="E22" s="5">
        <v>5466.3907696940523</v>
      </c>
      <c r="F22" s="5">
        <v>9430.3689422011157</v>
      </c>
      <c r="G22" s="5"/>
      <c r="H22" s="5">
        <v>2236.9306262033019</v>
      </c>
      <c r="I22" s="5"/>
      <c r="J22" s="5">
        <v>2617.1822257632862</v>
      </c>
      <c r="K22" s="5">
        <f t="shared" si="1"/>
        <v>3236.0124817572873</v>
      </c>
      <c r="L22" s="5">
        <f t="shared" si="1"/>
        <v>1741.664125910163</v>
      </c>
      <c r="M22" s="5">
        <f t="shared" si="1"/>
        <v>3508.0506651108267</v>
      </c>
      <c r="N22" s="5"/>
      <c r="O22" s="5">
        <v>10669.372262431198</v>
      </c>
      <c r="P22" s="5">
        <v>4604.5350046437406</v>
      </c>
    </row>
    <row r="23" spans="2:16" x14ac:dyDescent="0.25">
      <c r="B23" s="1">
        <f t="shared" si="0"/>
        <v>2045</v>
      </c>
      <c r="C23" s="5">
        <v>-4470.0060412833718</v>
      </c>
      <c r="D23" s="5">
        <v>8550.1529304554442</v>
      </c>
      <c r="E23" s="5">
        <v>6800.1708681005994</v>
      </c>
      <c r="F23" s="5">
        <v>10485.565004884022</v>
      </c>
      <c r="G23" s="5"/>
      <c r="H23" s="5">
        <v>709.61701460315771</v>
      </c>
      <c r="I23" s="5"/>
      <c r="J23" s="5">
        <v>1542.3953309498245</v>
      </c>
      <c r="K23" s="5">
        <f t="shared" si="1"/>
        <v>3381.6330434363649</v>
      </c>
      <c r="L23" s="5">
        <f t="shared" si="1"/>
        <v>1820.0390115761202</v>
      </c>
      <c r="M23" s="5">
        <f t="shared" si="1"/>
        <v>3665.9129450408136</v>
      </c>
      <c r="N23" s="5"/>
      <c r="O23" s="5">
        <v>12998.05038629579</v>
      </c>
      <c r="P23" s="5">
        <v>666.92551687388755</v>
      </c>
    </row>
    <row r="24" spans="2:16" x14ac:dyDescent="0.25">
      <c r="B24" s="1">
        <f t="shared" si="0"/>
        <v>2046</v>
      </c>
      <c r="C24" s="5">
        <v>22223.170163740746</v>
      </c>
      <c r="D24" s="5">
        <v>17793.833416400517</v>
      </c>
      <c r="E24" s="5">
        <v>4836.6248297612428</v>
      </c>
      <c r="F24" s="5">
        <v>12445.476316176846</v>
      </c>
      <c r="G24" s="5"/>
      <c r="H24" s="5">
        <v>-576.59002539919004</v>
      </c>
      <c r="I24" s="5"/>
      <c r="J24" s="5">
        <v>1545.2662538634931</v>
      </c>
      <c r="K24" s="5">
        <f t="shared" si="1"/>
        <v>3533.8065303910012</v>
      </c>
      <c r="L24" s="5">
        <f t="shared" si="1"/>
        <v>1901.9407670970454</v>
      </c>
      <c r="M24" s="5">
        <f t="shared" si="1"/>
        <v>3830.8790275676502</v>
      </c>
      <c r="N24" s="5"/>
      <c r="O24" s="5">
        <v>14467.057314251977</v>
      </c>
      <c r="P24" s="5">
        <v>5198.4520397199713</v>
      </c>
    </row>
    <row r="25" spans="2:16" x14ac:dyDescent="0.25">
      <c r="B25" s="1">
        <f t="shared" si="0"/>
        <v>2047</v>
      </c>
      <c r="C25" s="5">
        <v>1761.6618872329177</v>
      </c>
      <c r="D25" s="5">
        <v>7293.252979701183</v>
      </c>
      <c r="E25" s="5">
        <v>4570.7074782877553</v>
      </c>
      <c r="F25" s="5">
        <v>12437.194019649436</v>
      </c>
      <c r="G25" s="5"/>
      <c r="H25" s="5">
        <v>-686.0921236088891</v>
      </c>
      <c r="I25" s="5"/>
      <c r="J25" s="5">
        <v>1512.2213829386369</v>
      </c>
      <c r="K25" s="5">
        <f t="shared" si="1"/>
        <v>3692.8278242585961</v>
      </c>
      <c r="L25" s="5">
        <f t="shared" si="1"/>
        <v>1987.5281016164124</v>
      </c>
      <c r="M25" s="5">
        <f t="shared" si="1"/>
        <v>4003.2685838081943</v>
      </c>
      <c r="N25" s="5"/>
      <c r="O25" s="5">
        <v>63406.800065584444</v>
      </c>
      <c r="P25" s="5">
        <v>5169.330750169589</v>
      </c>
    </row>
    <row r="26" spans="2:16" x14ac:dyDescent="0.25">
      <c r="B26" s="1">
        <f t="shared" si="0"/>
        <v>2048</v>
      </c>
      <c r="C26" s="5">
        <v>1581.0403219366854</v>
      </c>
      <c r="D26" s="5">
        <v>-35609.031760813356</v>
      </c>
      <c r="E26" s="5">
        <v>65371.712835673432</v>
      </c>
      <c r="F26" s="5">
        <v>12482.537503177165</v>
      </c>
      <c r="G26" s="5"/>
      <c r="H26" s="5">
        <v>-502.19453389810548</v>
      </c>
      <c r="I26" s="5"/>
      <c r="J26" s="5">
        <v>1343.9678760043869</v>
      </c>
      <c r="K26" s="5">
        <f t="shared" si="1"/>
        <v>3859.0050763502327</v>
      </c>
      <c r="L26" s="5">
        <f t="shared" si="1"/>
        <v>2076.966866189151</v>
      </c>
      <c r="M26" s="5">
        <f t="shared" si="1"/>
        <v>4183.4156700795629</v>
      </c>
      <c r="N26" s="5"/>
      <c r="O26" s="5">
        <v>16616.548416356578</v>
      </c>
      <c r="P26" s="5">
        <v>5084.1899391018915</v>
      </c>
    </row>
    <row r="27" spans="2:16" x14ac:dyDescent="0.25">
      <c r="B27" s="1">
        <f t="shared" si="0"/>
        <v>2049</v>
      </c>
      <c r="C27" s="5">
        <v>1594.5810839558285</v>
      </c>
      <c r="D27" s="5">
        <v>59360.575510655093</v>
      </c>
      <c r="E27" s="5">
        <v>176.52578358770324</v>
      </c>
      <c r="F27" s="5">
        <v>12506.311569243899</v>
      </c>
      <c r="G27" s="5"/>
      <c r="H27" s="5">
        <v>-1124.131568617931</v>
      </c>
      <c r="I27" s="5"/>
      <c r="J27" s="5">
        <v>484.74765683736626</v>
      </c>
      <c r="K27" s="5">
        <f t="shared" si="1"/>
        <v>4032.660304785993</v>
      </c>
      <c r="L27" s="5">
        <f t="shared" si="1"/>
        <v>2170.4303751676625</v>
      </c>
      <c r="M27" s="5">
        <f t="shared" si="1"/>
        <v>4371.669375233143</v>
      </c>
      <c r="N27" s="5"/>
      <c r="O27" s="5">
        <v>7216.411985034285</v>
      </c>
      <c r="P27" s="5">
        <v>797.66075767209918</v>
      </c>
    </row>
    <row r="28" spans="2:16" x14ac:dyDescent="0.25">
      <c r="B28" s="1">
        <f t="shared" si="0"/>
        <v>2050</v>
      </c>
      <c r="C28" s="5">
        <v>1548.3022299844718</v>
      </c>
      <c r="D28" s="5">
        <v>2719.3363901280768</v>
      </c>
      <c r="E28" s="5">
        <v>163.40515541828785</v>
      </c>
      <c r="F28" s="5">
        <v>13315.305306439397</v>
      </c>
      <c r="G28" s="5"/>
      <c r="H28" s="5">
        <v>-1143.1220725938563</v>
      </c>
      <c r="I28" s="5"/>
      <c r="J28" s="5">
        <v>322.39365103692069</v>
      </c>
      <c r="K28" s="5">
        <f t="shared" si="1"/>
        <v>4214.1300185013624</v>
      </c>
      <c r="L28" s="5">
        <f t="shared" si="1"/>
        <v>2268.0997420502072</v>
      </c>
      <c r="M28" s="5">
        <f t="shared" si="1"/>
        <v>4568.3944971186338</v>
      </c>
      <c r="N28" s="5"/>
      <c r="O28" s="5">
        <v>6712.9799586122381</v>
      </c>
      <c r="P28" s="5">
        <v>5375.1098812901419</v>
      </c>
    </row>
    <row r="29" spans="2:16" x14ac:dyDescent="0.25">
      <c r="B29" s="1">
        <f t="shared" si="0"/>
        <v>2051</v>
      </c>
      <c r="C29" s="5">
        <v>1499.0112710310825</v>
      </c>
      <c r="D29" s="5">
        <v>3000.4974286813199</v>
      </c>
      <c r="E29" s="5">
        <v>115.73315299785321</v>
      </c>
      <c r="F29" s="5">
        <v>15196.065131826799</v>
      </c>
      <c r="G29" s="5"/>
      <c r="H29" s="5">
        <v>-1090.0302985215355</v>
      </c>
      <c r="I29" s="5"/>
      <c r="J29" s="5">
        <v>306.42095629284051</v>
      </c>
      <c r="K29" s="5">
        <f t="shared" si="1"/>
        <v>4403.7658693339235</v>
      </c>
      <c r="L29" s="5">
        <f t="shared" si="1"/>
        <v>2370.1642304424663</v>
      </c>
      <c r="M29" s="5">
        <f t="shared" si="1"/>
        <v>4773.972249488972</v>
      </c>
      <c r="N29" s="5"/>
      <c r="O29" s="5">
        <v>10527.327607841195</v>
      </c>
      <c r="P29" s="5">
        <v>5353.2814011403279</v>
      </c>
    </row>
    <row r="30" spans="2:16" x14ac:dyDescent="0.25">
      <c r="B30" s="1">
        <f t="shared" si="0"/>
        <v>2052</v>
      </c>
      <c r="C30" s="5">
        <v>1790.0151395634389</v>
      </c>
      <c r="D30" s="5">
        <v>6576.6452042020592</v>
      </c>
      <c r="E30" s="5">
        <v>91.809703028503719</v>
      </c>
      <c r="F30" s="5">
        <v>15142.787489691193</v>
      </c>
      <c r="G30" s="5"/>
      <c r="H30" s="5">
        <v>-13686.669908091611</v>
      </c>
      <c r="I30" s="5"/>
      <c r="J30" s="5">
        <v>337.07333368268081</v>
      </c>
      <c r="K30" s="5">
        <f t="shared" ref="K30:M38" si="2">K29*1.045</f>
        <v>4601.9353334539501</v>
      </c>
      <c r="L30" s="5">
        <f t="shared" si="2"/>
        <v>2476.8216208123772</v>
      </c>
      <c r="M30" s="5">
        <f t="shared" si="2"/>
        <v>4988.8010007159755</v>
      </c>
      <c r="N30" s="5"/>
      <c r="O30" s="5">
        <v>7113.3756438471264</v>
      </c>
      <c r="P30" s="5">
        <v>5263.8547664354483</v>
      </c>
    </row>
    <row r="31" spans="2:16" x14ac:dyDescent="0.25">
      <c r="B31" s="1">
        <f t="shared" si="0"/>
        <v>2053</v>
      </c>
      <c r="C31" s="5">
        <v>1235.6059424382429</v>
      </c>
      <c r="D31" s="5">
        <v>2932.0266169418528</v>
      </c>
      <c r="E31" s="5">
        <v>0</v>
      </c>
      <c r="F31" s="5">
        <v>15145.578987082663</v>
      </c>
      <c r="G31" s="5"/>
      <c r="H31" s="5"/>
      <c r="I31" s="5"/>
      <c r="J31" s="5">
        <v>450.20155415702357</v>
      </c>
      <c r="K31" s="5">
        <f t="shared" si="2"/>
        <v>4809.0224234593779</v>
      </c>
      <c r="L31" s="5">
        <f t="shared" si="2"/>
        <v>2588.2785937489339</v>
      </c>
      <c r="M31" s="5">
        <f t="shared" si="2"/>
        <v>5213.2970457481943</v>
      </c>
      <c r="N31" s="5"/>
      <c r="O31" s="5"/>
      <c r="P31" s="5">
        <v>767.23604939946858</v>
      </c>
    </row>
    <row r="32" spans="2:16" x14ac:dyDescent="0.25">
      <c r="B32" s="1">
        <f t="shared" si="0"/>
        <v>2054</v>
      </c>
      <c r="C32" s="5">
        <v>425.02205054119838</v>
      </c>
      <c r="D32" s="5">
        <v>2816.5724967717488</v>
      </c>
      <c r="E32" s="5"/>
      <c r="F32" s="5">
        <v>15129.01252124595</v>
      </c>
      <c r="G32" s="5"/>
      <c r="H32" s="5"/>
      <c r="I32" s="5"/>
      <c r="J32" s="5">
        <v>480.25081488405533</v>
      </c>
      <c r="K32" s="5">
        <f t="shared" si="2"/>
        <v>5025.4284325150493</v>
      </c>
      <c r="L32" s="5">
        <f t="shared" si="2"/>
        <v>2704.7511304676359</v>
      </c>
      <c r="M32" s="5">
        <f t="shared" si="2"/>
        <v>5447.8954128068626</v>
      </c>
      <c r="N32" s="5"/>
      <c r="O32" s="5"/>
      <c r="P32" s="5">
        <v>5571.5249487045548</v>
      </c>
    </row>
    <row r="33" spans="2:16" x14ac:dyDescent="0.25">
      <c r="B33" s="1">
        <f t="shared" si="0"/>
        <v>2055</v>
      </c>
      <c r="C33" s="5">
        <v>-3323.1154015438683</v>
      </c>
      <c r="D33" s="5">
        <v>2826.5787744966747</v>
      </c>
      <c r="E33" s="5"/>
      <c r="F33" s="5">
        <v>15883.22232168353</v>
      </c>
      <c r="G33" s="5"/>
      <c r="H33" s="5"/>
      <c r="I33" s="5"/>
      <c r="J33" s="5">
        <v>126.67681954803932</v>
      </c>
      <c r="K33" s="5">
        <f t="shared" si="2"/>
        <v>5251.5727119782259</v>
      </c>
      <c r="L33" s="5">
        <f t="shared" si="2"/>
        <v>2826.4649313386794</v>
      </c>
      <c r="M33" s="5">
        <f t="shared" si="2"/>
        <v>5693.050706383171</v>
      </c>
      <c r="N33" s="5"/>
      <c r="O33" s="5"/>
      <c r="P33" s="5">
        <v>5549.7131387724294</v>
      </c>
    </row>
    <row r="34" spans="2:16" x14ac:dyDescent="0.25">
      <c r="B34" s="1">
        <f t="shared" si="0"/>
        <v>2056</v>
      </c>
      <c r="C34" s="6"/>
      <c r="D34" s="5">
        <v>790.36209178577474</v>
      </c>
      <c r="E34" s="5"/>
      <c r="F34" s="5">
        <v>18309.575189750867</v>
      </c>
      <c r="G34" s="5"/>
      <c r="H34" s="5"/>
      <c r="I34" s="5"/>
      <c r="J34" s="5">
        <v>-294.27633282098503</v>
      </c>
      <c r="K34" s="5">
        <f t="shared" si="2"/>
        <v>5487.893484017246</v>
      </c>
      <c r="L34" s="5">
        <f t="shared" si="2"/>
        <v>2953.6558532489198</v>
      </c>
      <c r="M34" s="5">
        <f t="shared" si="2"/>
        <v>5949.2379881704137</v>
      </c>
      <c r="N34" s="5"/>
      <c r="O34" s="5"/>
      <c r="P34" s="5">
        <v>5450.7016879833645</v>
      </c>
    </row>
    <row r="35" spans="2:16" x14ac:dyDescent="0.25">
      <c r="B35" s="1">
        <f t="shared" si="0"/>
        <v>2057</v>
      </c>
      <c r="C35" s="6"/>
      <c r="D35" s="5">
        <v>2176.4750693598044</v>
      </c>
      <c r="E35" s="5"/>
      <c r="F35" s="5">
        <v>14509.833795732029</v>
      </c>
      <c r="G35" s="5"/>
      <c r="H35" s="5"/>
      <c r="I35" s="5"/>
      <c r="J35" s="5">
        <v>-912.57279272100948</v>
      </c>
      <c r="K35" s="5">
        <f t="shared" si="2"/>
        <v>5734.8486907980214</v>
      </c>
      <c r="L35" s="5">
        <f t="shared" si="2"/>
        <v>3086.5703666451209</v>
      </c>
      <c r="M35" s="5">
        <f t="shared" si="2"/>
        <v>6216.9536976380823</v>
      </c>
      <c r="N35" s="5"/>
      <c r="O35" s="5"/>
      <c r="P35" s="5">
        <v>2879.9434584403371</v>
      </c>
    </row>
    <row r="36" spans="2:16" x14ac:dyDescent="0.25">
      <c r="B36" s="1">
        <f t="shared" si="0"/>
        <v>2058</v>
      </c>
      <c r="C36" s="6"/>
      <c r="D36" s="5">
        <v>1631.8527257679787</v>
      </c>
      <c r="E36" s="5"/>
      <c r="F36" s="5">
        <v>10879.018171786525</v>
      </c>
      <c r="G36" s="5"/>
      <c r="H36" s="5"/>
      <c r="I36" s="5"/>
      <c r="J36" s="5">
        <v>-879.9105266654185</v>
      </c>
      <c r="K36" s="5">
        <f t="shared" si="2"/>
        <v>5992.9168818839316</v>
      </c>
      <c r="L36" s="5">
        <f t="shared" si="2"/>
        <v>3225.466033144151</v>
      </c>
      <c r="M36" s="5">
        <f t="shared" si="2"/>
        <v>6496.7166140317959</v>
      </c>
      <c r="N36" s="5"/>
      <c r="O36" s="5"/>
      <c r="P36" s="5">
        <v>5621.2451766894319</v>
      </c>
    </row>
    <row r="37" spans="2:16" x14ac:dyDescent="0.25">
      <c r="B37" s="1">
        <f t="shared" si="0"/>
        <v>2059</v>
      </c>
      <c r="C37" s="6"/>
      <c r="D37" s="5">
        <v>2220.9186253847151</v>
      </c>
      <c r="E37" s="5"/>
      <c r="F37" s="5">
        <v>14806.124169231436</v>
      </c>
      <c r="G37" s="5"/>
      <c r="H37" s="5"/>
      <c r="I37" s="5"/>
      <c r="J37" s="5">
        <v>-841.27466267220996</v>
      </c>
      <c r="K37" s="5">
        <f t="shared" si="2"/>
        <v>6262.5981415687083</v>
      </c>
      <c r="L37" s="5">
        <f t="shared" si="2"/>
        <v>3370.6120046356377</v>
      </c>
      <c r="M37" s="5">
        <f t="shared" si="2"/>
        <v>6789.068861663226</v>
      </c>
      <c r="N37" s="5"/>
      <c r="P37" s="5">
        <v>5591.7311528465534</v>
      </c>
    </row>
    <row r="38" spans="2:16" x14ac:dyDescent="0.25">
      <c r="B38" s="1">
        <f t="shared" si="0"/>
        <v>2060</v>
      </c>
      <c r="C38" s="6"/>
      <c r="D38" s="5">
        <v>42904.155236536397</v>
      </c>
      <c r="E38" s="5"/>
      <c r="F38" s="5">
        <v>286027.70157690934</v>
      </c>
      <c r="G38" s="5"/>
      <c r="H38" s="5"/>
      <c r="I38" s="5"/>
      <c r="J38" s="5">
        <v>-190.4831126001113</v>
      </c>
      <c r="K38" s="5">
        <f t="shared" si="2"/>
        <v>6544.4150579392999</v>
      </c>
      <c r="L38" s="5">
        <f t="shared" si="2"/>
        <v>3522.2895448442414</v>
      </c>
      <c r="M38" s="5">
        <f t="shared" si="2"/>
        <v>7094.5769604380703</v>
      </c>
      <c r="N38" s="5"/>
      <c r="P38" s="5">
        <v>5476.9068357201604</v>
      </c>
    </row>
    <row r="39" spans="2:16" x14ac:dyDescent="0.25">
      <c r="B39" s="1">
        <f t="shared" si="0"/>
        <v>2061</v>
      </c>
      <c r="P39" s="5">
        <v>5348.2272170671049</v>
      </c>
    </row>
    <row r="40" spans="2:16" x14ac:dyDescent="0.25">
      <c r="B40" s="1">
        <f t="shared" si="0"/>
        <v>2062</v>
      </c>
      <c r="P40" s="5">
        <v>1553.2336857992693</v>
      </c>
    </row>
    <row r="41" spans="2:16" x14ac:dyDescent="0.25">
      <c r="B41" s="1">
        <f t="shared" si="0"/>
        <v>2063</v>
      </c>
      <c r="P41" s="5">
        <v>909.18588412752399</v>
      </c>
    </row>
    <row r="42" spans="2:16" x14ac:dyDescent="0.25">
      <c r="B42" s="1">
        <f t="shared" si="0"/>
        <v>2064</v>
      </c>
      <c r="P42" s="5">
        <v>979.22413150273474</v>
      </c>
    </row>
    <row r="43" spans="2:16" x14ac:dyDescent="0.25">
      <c r="B43" s="1">
        <f t="shared" si="0"/>
        <v>2065</v>
      </c>
      <c r="P43" s="5">
        <v>1021.2623014546363</v>
      </c>
    </row>
    <row r="44" spans="2:16" x14ac:dyDescent="0.25">
      <c r="B44" s="1">
        <f t="shared" si="0"/>
        <v>2066</v>
      </c>
      <c r="P44" s="5">
        <v>1379.6140429142242</v>
      </c>
    </row>
    <row r="45" spans="2:16" x14ac:dyDescent="0.25">
      <c r="B45" s="1">
        <f t="shared" si="0"/>
        <v>2067</v>
      </c>
      <c r="P45" s="5">
        <v>1547.7967575566656</v>
      </c>
    </row>
    <row r="46" spans="2:16" x14ac:dyDescent="0.25">
      <c r="B46" s="1">
        <f t="shared" si="0"/>
        <v>2068</v>
      </c>
      <c r="P46" s="5">
        <v>1570.2412897753873</v>
      </c>
    </row>
    <row r="47" spans="2:16" x14ac:dyDescent="0.25">
      <c r="B47" s="1">
        <f t="shared" si="0"/>
        <v>2069</v>
      </c>
      <c r="P47" s="5">
        <v>1562.2017608722449</v>
      </c>
    </row>
    <row r="48" spans="2:16" x14ac:dyDescent="0.25">
      <c r="B48" s="1">
        <f t="shared" si="0"/>
        <v>2070</v>
      </c>
      <c r="P48" s="5">
        <v>1927.3788383884005</v>
      </c>
    </row>
    <row r="49" spans="2:16" x14ac:dyDescent="0.25">
      <c r="B49" s="1">
        <f t="shared" si="0"/>
        <v>2071</v>
      </c>
      <c r="P49" s="5">
        <v>2073.2497657520421</v>
      </c>
    </row>
    <row r="50" spans="2:16" x14ac:dyDescent="0.25">
      <c r="B50" s="1">
        <f t="shared" si="0"/>
        <v>2072</v>
      </c>
      <c r="P50" s="5">
        <v>2049.4625634370504</v>
      </c>
    </row>
    <row r="51" spans="2:16" x14ac:dyDescent="0.25">
      <c r="B51" s="1">
        <f t="shared" si="0"/>
        <v>2073</v>
      </c>
      <c r="P51" s="5">
        <v>63753.995200912759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BCFB6-56BF-474C-B5EB-3DCB364764B7}">
  <dimension ref="C2:D14"/>
  <sheetViews>
    <sheetView showGridLines="0" workbookViewId="0">
      <selection activeCell="D8" sqref="D8"/>
    </sheetView>
  </sheetViews>
  <sheetFormatPr defaultRowHeight="15" x14ac:dyDescent="0.25"/>
  <sheetData>
    <row r="2" spans="3:4" ht="15.75" thickBot="1" x14ac:dyDescent="0.3">
      <c r="C2" s="7"/>
      <c r="D2" s="8" t="s">
        <v>12</v>
      </c>
    </row>
    <row r="3" spans="3:4" x14ac:dyDescent="0.25">
      <c r="C3" s="9" t="s">
        <v>14</v>
      </c>
      <c r="D3" s="10">
        <v>7</v>
      </c>
    </row>
    <row r="4" spans="3:4" x14ac:dyDescent="0.25">
      <c r="C4" s="11" t="s">
        <v>0</v>
      </c>
      <c r="D4" s="12">
        <v>10.5</v>
      </c>
    </row>
    <row r="5" spans="3:4" x14ac:dyDescent="0.25">
      <c r="C5" s="11" t="s">
        <v>1</v>
      </c>
      <c r="D5" s="12">
        <v>10</v>
      </c>
    </row>
    <row r="6" spans="3:4" x14ac:dyDescent="0.25">
      <c r="C6" s="11" t="s">
        <v>2</v>
      </c>
      <c r="D6" s="12">
        <v>13</v>
      </c>
    </row>
    <row r="7" spans="3:4" x14ac:dyDescent="0.25">
      <c r="C7" s="11" t="s">
        <v>16</v>
      </c>
      <c r="D7" s="12">
        <v>12</v>
      </c>
    </row>
    <row r="8" spans="3:4" x14ac:dyDescent="0.25">
      <c r="C8" s="11" t="s">
        <v>4</v>
      </c>
      <c r="D8" s="12">
        <v>6.4</v>
      </c>
    </row>
    <row r="9" spans="3:4" x14ac:dyDescent="0.25">
      <c r="C9" s="11" t="s">
        <v>15</v>
      </c>
      <c r="D9" s="12">
        <v>7.4</v>
      </c>
    </row>
    <row r="10" spans="3:4" x14ac:dyDescent="0.25">
      <c r="C10" s="11" t="s">
        <v>6</v>
      </c>
      <c r="D10" s="12">
        <v>6.4</v>
      </c>
    </row>
    <row r="11" spans="3:4" x14ac:dyDescent="0.25">
      <c r="C11" s="11" t="s">
        <v>7</v>
      </c>
      <c r="D11" s="12">
        <v>11.006125118224018</v>
      </c>
    </row>
    <row r="12" spans="3:4" x14ac:dyDescent="0.25">
      <c r="C12" s="11" t="s">
        <v>8</v>
      </c>
      <c r="D12" s="12">
        <v>11.671918388589615</v>
      </c>
    </row>
    <row r="13" spans="3:4" x14ac:dyDescent="0.25">
      <c r="C13" s="11" t="s">
        <v>10</v>
      </c>
      <c r="D13" s="12">
        <v>11.199476972806313</v>
      </c>
    </row>
    <row r="14" spans="3:4" x14ac:dyDescent="0.25">
      <c r="C14" s="11"/>
      <c r="D14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E4BAF79DB213408BB296F3F8F32329" ma:contentTypeVersion="15" ma:contentTypeDescription="Create a new document." ma:contentTypeScope="" ma:versionID="9679123e7a51fb6c2fee49c985862cfe">
  <xsd:schema xmlns:xsd="http://www.w3.org/2001/XMLSchema" xmlns:xs="http://www.w3.org/2001/XMLSchema" xmlns:p="http://schemas.microsoft.com/office/2006/metadata/properties" xmlns:ns2="1a4d52ec-ae83-4798-bc6c-3cf1b4f12457" xmlns:ns3="f0bab05a-e9c1-4e32-93e9-8363aec9c620" targetNamespace="http://schemas.microsoft.com/office/2006/metadata/properties" ma:root="true" ma:fieldsID="ddaff962f7439efafa6fc254a8996caa" ns2:_="" ns3:_="">
    <xsd:import namespace="1a4d52ec-ae83-4798-bc6c-3cf1b4f12457"/>
    <xsd:import namespace="f0bab05a-e9c1-4e32-93e9-8363aec9c6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4d52ec-ae83-4798-bc6c-3cf1b4f124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1959752-f021-4281-8567-1d58f87c8f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bab05a-e9c1-4e32-93e9-8363aec9c62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3ca468a-d12d-40be-b2c2-d66bd8e71c78}" ma:internalName="TaxCatchAll" ma:showField="CatchAllData" ma:web="f0bab05a-e9c1-4e32-93e9-8363aec9c6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bab05a-e9c1-4e32-93e9-8363aec9c620" xsi:nil="true"/>
    <lcf76f155ced4ddcb4097134ff3c332f xmlns="1a4d52ec-ae83-4798-bc6c-3cf1b4f1245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3E7543-F0E8-474C-8FBB-787032D906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4d52ec-ae83-4798-bc6c-3cf1b4f12457"/>
    <ds:schemaRef ds:uri="f0bab05a-e9c1-4e32-93e9-8363aec9c6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140DD7-5C12-4BA5-9C24-A1CF0564C7A2}">
  <ds:schemaRefs>
    <ds:schemaRef ds:uri="http://schemas.microsoft.com/office/2006/metadata/properties"/>
    <ds:schemaRef ds:uri="http://schemas.microsoft.com/office/infopath/2007/PartnerControls"/>
    <ds:schemaRef ds:uri="f0bab05a-e9c1-4e32-93e9-8363aec9c620"/>
    <ds:schemaRef ds:uri="1a4d52ec-ae83-4798-bc6c-3cf1b4f12457"/>
  </ds:schemaRefs>
</ds:datastoreItem>
</file>

<file path=customXml/itemProps3.xml><?xml version="1.0" encoding="utf-8"?>
<ds:datastoreItem xmlns:ds="http://schemas.openxmlformats.org/officeDocument/2006/customXml" ds:itemID="{618C5CC8-9B8E-49D5-B2E6-D98C4C570E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Russo Lopes</dc:creator>
  <cp:lastModifiedBy>João Pedro Russo Lopes</cp:lastModifiedBy>
  <dcterms:created xsi:type="dcterms:W3CDTF">2015-06-05T18:17:20Z</dcterms:created>
  <dcterms:modified xsi:type="dcterms:W3CDTF">2026-07-31T16:23:05Z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0x01010020E4BAF79DB213408BB296F3F8F32329</vt:lpwstr>
  </property>
</Properties>
</file>