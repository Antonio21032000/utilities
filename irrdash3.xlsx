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BF6B61E1-AFA8-42D3-AF41-589DF6ED63A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<sst xmlns="http://schemas.openxmlformats.org/spreadsheetml/2006/main" count="26" uniqueCount="16">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</sst>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topLeftCell="A2" workbookViewId="0">
      <selection activeCell="D4" sqref="D4:D38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906.20902652957579</v>
      </c>
      <c r="E4" s="5">
        <v>1423.5911688211188</v>
      </c>
      <c r="F4" s="5">
        <v>-3213.7582022461929</v>
      </c>
      <c r="G4" s="5"/>
      <c r="H4" s="5">
        <v>-8.7620158507064616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18979.748191630773</v>
      </c>
    </row>
    <row r="5" spans="2:16" x14ac:dyDescent="0.25">
      <c r="B5" s="1">
        <f t="shared" ref="B5:B38" si="0">B4+1</f>
        <v>2027</v>
      </c>
      <c r="C5" s="5">
        <v>5030.9414324565514</v>
      </c>
      <c r="D5" s="5">
        <v>213.72116190750472</v>
      </c>
      <c r="E5" s="5">
        <v>836.48604610360985</v>
      </c>
      <c r="F5" s="5">
        <v>1992.5790328815574</v>
      </c>
      <c r="G5" s="5"/>
      <c r="H5" s="5">
        <v>952.98742767157978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18413.86475407553</v>
      </c>
    </row>
    <row r="6" spans="2:16" x14ac:dyDescent="0.25">
      <c r="B6" s="1">
        <f t="shared" si="0"/>
        <v>2028</v>
      </c>
      <c r="C6" s="5">
        <v>4878.854572172454</v>
      </c>
      <c r="D6" s="5">
        <v>-537.15129089311472</v>
      </c>
      <c r="E6" s="5">
        <v>1886.5332002018404</v>
      </c>
      <c r="F6" s="5">
        <v>7329.4140739717586</v>
      </c>
      <c r="G6" s="5"/>
      <c r="H6" s="5">
        <v>6589.9422482750315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15989.244257070595</v>
      </c>
    </row>
    <row r="7" spans="2:16" x14ac:dyDescent="0.25">
      <c r="B7" s="1">
        <f t="shared" si="0"/>
        <v>2029</v>
      </c>
      <c r="C7" s="5">
        <v>4847.5209112119855</v>
      </c>
      <c r="D7" s="5">
        <v>1682.9507788822602</v>
      </c>
      <c r="E7" s="5">
        <v>2728.8526153584262</v>
      </c>
      <c r="F7" s="5">
        <v>5033.6896474707046</v>
      </c>
      <c r="G7" s="5"/>
      <c r="H7" s="5">
        <v>5536.1237456745603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14727.36986785778</v>
      </c>
    </row>
    <row r="8" spans="2:16" x14ac:dyDescent="0.25">
      <c r="B8" s="1">
        <f t="shared" si="0"/>
        <v>2030</v>
      </c>
      <c r="C8" s="5">
        <v>5160.437064035852</v>
      </c>
      <c r="D8" s="5">
        <v>5255.4599833798002</v>
      </c>
      <c r="E8" s="5">
        <v>1996.046006674206</v>
      </c>
      <c r="F8" s="5">
        <v>10151.841225696608</v>
      </c>
      <c r="G8" s="5"/>
      <c r="H8" s="5">
        <v>12017.286584211188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8099.5534825768154</v>
      </c>
    </row>
    <row r="9" spans="2:16" x14ac:dyDescent="0.25">
      <c r="B9" s="1">
        <f t="shared" si="0"/>
        <v>2031</v>
      </c>
      <c r="C9" s="5">
        <v>6196.4049493969596</v>
      </c>
      <c r="D9" s="5">
        <v>6296.2382546290301</v>
      </c>
      <c r="E9" s="5">
        <v>3040.4333366384258</v>
      </c>
      <c r="F9" s="5">
        <v>13047.902210151391</v>
      </c>
      <c r="G9" s="5"/>
      <c r="H9" s="5">
        <v>8473.7455168781198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16443.830669127274</v>
      </c>
    </row>
    <row r="10" spans="2:16" x14ac:dyDescent="0.25">
      <c r="B10" s="1">
        <f t="shared" si="0"/>
        <v>2032</v>
      </c>
      <c r="C10" s="5">
        <v>6699.1790561707985</v>
      </c>
      <c r="D10" s="5">
        <v>8436.3555138061729</v>
      </c>
      <c r="E10" s="5">
        <v>3079.6282281473705</v>
      </c>
      <c r="F10" s="5">
        <v>16201.423462993538</v>
      </c>
      <c r="G10" s="5"/>
      <c r="H10" s="5">
        <v>11404.257473885451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16459.568026111487</v>
      </c>
    </row>
    <row r="11" spans="2:16" x14ac:dyDescent="0.25">
      <c r="B11" s="1">
        <f t="shared" si="0"/>
        <v>2033</v>
      </c>
      <c r="C11" s="5">
        <v>6773.3605098858025</v>
      </c>
      <c r="D11" s="5">
        <v>6426.1269359699909</v>
      </c>
      <c r="E11" s="5">
        <v>3365.750967532942</v>
      </c>
      <c r="F11" s="5">
        <v>15709.19927115742</v>
      </c>
      <c r="G11" s="5"/>
      <c r="H11" s="5">
        <v>9338.3280772234048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16914.43077495979</v>
      </c>
    </row>
    <row r="12" spans="2:16" x14ac:dyDescent="0.25">
      <c r="B12" s="1">
        <f t="shared" si="0"/>
        <v>2034</v>
      </c>
      <c r="C12" s="5">
        <v>6876.5340588649724</v>
      </c>
      <c r="D12" s="5">
        <v>12233.660674885701</v>
      </c>
      <c r="E12" s="5">
        <v>3998.2297037974399</v>
      </c>
      <c r="F12" s="5">
        <v>15868.98572730064</v>
      </c>
      <c r="G12" s="5"/>
      <c r="H12" s="5">
        <v>9426.7694638763442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20543.191589300575</v>
      </c>
    </row>
    <row r="13" spans="2:16" x14ac:dyDescent="0.25">
      <c r="B13" s="1">
        <f t="shared" si="0"/>
        <v>2035</v>
      </c>
      <c r="C13" s="5">
        <v>7138.8046805764006</v>
      </c>
      <c r="D13" s="5">
        <v>12659.045350191773</v>
      </c>
      <c r="E13" s="5">
        <v>3357.9892161586899</v>
      </c>
      <c r="F13" s="5">
        <v>12859.447589777848</v>
      </c>
      <c r="G13" s="5"/>
      <c r="H13" s="5">
        <v>9290.320997467421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17790.242781651366</v>
      </c>
    </row>
    <row r="14" spans="2:16" x14ac:dyDescent="0.25">
      <c r="B14" s="1">
        <f t="shared" si="0"/>
        <v>2036</v>
      </c>
      <c r="C14" s="5">
        <v>7109.0430282295492</v>
      </c>
      <c r="D14" s="5">
        <v>12306.414228418334</v>
      </c>
      <c r="E14" s="5">
        <v>3890.7284841014853</v>
      </c>
      <c r="F14" s="5">
        <v>14281.254281581185</v>
      </c>
      <c r="G14" s="5"/>
      <c r="H14" s="5">
        <v>8673.6495661046774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20822.020304664984</v>
      </c>
    </row>
    <row r="15" spans="2:16" x14ac:dyDescent="0.25">
      <c r="B15" s="1">
        <f t="shared" si="0"/>
        <v>2037</v>
      </c>
      <c r="C15" s="5">
        <v>7185.1894287338318</v>
      </c>
      <c r="D15" s="5">
        <v>11046.719287529615</v>
      </c>
      <c r="E15" s="5">
        <v>3795.421343208634</v>
      </c>
      <c r="F15" s="5">
        <v>13964.375731795819</v>
      </c>
      <c r="G15" s="5"/>
      <c r="H15" s="5">
        <v>8188.6870790363791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17212.445226073032</v>
      </c>
    </row>
    <row r="16" spans="2:16" x14ac:dyDescent="0.25">
      <c r="B16" s="1">
        <f t="shared" si="0"/>
        <v>2038</v>
      </c>
      <c r="C16" s="5">
        <v>7365.6208094844114</v>
      </c>
      <c r="D16" s="5">
        <v>10440.923640693254</v>
      </c>
      <c r="E16" s="5">
        <v>4241.1276645324469</v>
      </c>
      <c r="F16" s="5">
        <v>13764.32442047207</v>
      </c>
      <c r="G16" s="5"/>
      <c r="H16" s="5">
        <v>8004.3987166707338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17320.053746271926</v>
      </c>
    </row>
    <row r="17" spans="2:15" x14ac:dyDescent="0.25">
      <c r="B17" s="1">
        <f t="shared" si="0"/>
        <v>2039</v>
      </c>
      <c r="C17" s="5">
        <v>7508.1630455113282</v>
      </c>
      <c r="D17" s="5">
        <v>10200.965639970937</v>
      </c>
      <c r="E17" s="5">
        <v>4700.1076438236432</v>
      </c>
      <c r="F17" s="5">
        <v>9552.9699081411782</v>
      </c>
      <c r="G17" s="5"/>
      <c r="H17" s="5">
        <v>7114.7800115611963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17837.796468745979</v>
      </c>
    </row>
    <row r="18" spans="2:15" x14ac:dyDescent="0.25">
      <c r="B18" s="1">
        <f t="shared" si="0"/>
        <v>2040</v>
      </c>
      <c r="C18" s="5">
        <v>7491.1459400575186</v>
      </c>
      <c r="D18" s="5">
        <v>10955.139314314256</v>
      </c>
      <c r="E18" s="5">
        <v>4448.8476307615656</v>
      </c>
      <c r="F18" s="5">
        <v>13851.400921987946</v>
      </c>
      <c r="G18" s="5"/>
      <c r="H18" s="5">
        <v>8959.0426799030829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11975.156503692111</v>
      </c>
    </row>
    <row r="19" spans="2:15" x14ac:dyDescent="0.25">
      <c r="B19" s="1">
        <f t="shared" si="0"/>
        <v>2041</v>
      </c>
      <c r="C19" s="5">
        <v>6692.2296027473712</v>
      </c>
      <c r="D19" s="5">
        <v>10440.615645595444</v>
      </c>
      <c r="E19" s="5">
        <v>4404.6638333651717</v>
      </c>
      <c r="F19" s="5">
        <v>14029.085554077283</v>
      </c>
      <c r="G19" s="5"/>
      <c r="H19" s="5">
        <v>5706.5892170742209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17751.944353503422</v>
      </c>
    </row>
    <row r="20" spans="2:15" x14ac:dyDescent="0.25">
      <c r="B20" s="1">
        <f t="shared" si="0"/>
        <v>2042</v>
      </c>
      <c r="C20" s="5">
        <v>10022.354780335389</v>
      </c>
      <c r="D20" s="5">
        <v>5481.5721552845898</v>
      </c>
      <c r="E20" s="5">
        <v>4322.8251616964926</v>
      </c>
      <c r="F20" s="5">
        <v>9217.1673925462674</v>
      </c>
      <c r="G20" s="5"/>
      <c r="H20" s="5">
        <v>5791.5387040282367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38535.962917223864</v>
      </c>
    </row>
    <row r="21" spans="2:15" x14ac:dyDescent="0.25">
      <c r="B21" s="1">
        <f t="shared" si="0"/>
        <v>2043</v>
      </c>
      <c r="C21" s="5">
        <v>5630.0233805802036</v>
      </c>
      <c r="D21" s="5">
        <v>5587.5251678781215</v>
      </c>
      <c r="E21" s="5">
        <v>4704.9869228474563</v>
      </c>
      <c r="F21" s="5">
        <v>8554.1344001208017</v>
      </c>
      <c r="G21" s="5"/>
      <c r="H21" s="5">
        <v>3723.3268802003786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28948.361031309589</v>
      </c>
    </row>
    <row r="22" spans="2:15" x14ac:dyDescent="0.25">
      <c r="B22" s="1">
        <f t="shared" si="0"/>
        <v>2044</v>
      </c>
      <c r="C22" s="5">
        <v>5640.800647683538</v>
      </c>
      <c r="D22" s="5">
        <v>7773.5078665300134</v>
      </c>
      <c r="E22" s="5">
        <v>5466.3907696940523</v>
      </c>
      <c r="F22" s="5">
        <v>9430.3689422011157</v>
      </c>
      <c r="G22" s="5"/>
      <c r="H22" s="5">
        <v>2227.0346985504361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8308.653322847611</v>
      </c>
    </row>
    <row r="23" spans="2:15" x14ac:dyDescent="0.25">
      <c r="B23" s="1">
        <f t="shared" si="0"/>
        <v>2045</v>
      </c>
      <c r="C23" s="5">
        <v>-4470.0060412833718</v>
      </c>
      <c r="D23" s="5">
        <v>8550.1529304554442</v>
      </c>
      <c r="E23" s="5">
        <v>6800.1708681005994</v>
      </c>
      <c r="F23" s="5">
        <v>10485.565004884022</v>
      </c>
      <c r="G23" s="5"/>
      <c r="H23" s="5">
        <v>661.03155598403737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10974.815190337027</v>
      </c>
    </row>
    <row r="24" spans="2:15" x14ac:dyDescent="0.25">
      <c r="B24" s="1">
        <f t="shared" si="0"/>
        <v>2046</v>
      </c>
      <c r="C24" s="5">
        <v>22223.170163740746</v>
      </c>
      <c r="D24" s="5">
        <v>17793.833416400517</v>
      </c>
      <c r="E24" s="5">
        <v>4836.6248297612428</v>
      </c>
      <c r="F24" s="5">
        <v>12445.476316176846</v>
      </c>
      <c r="G24" s="5"/>
      <c r="H24" s="5">
        <v>-649.48826947455473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12390.409145349473</v>
      </c>
    </row>
    <row r="25" spans="2:15" x14ac:dyDescent="0.25">
      <c r="B25" s="1">
        <f t="shared" si="0"/>
        <v>2047</v>
      </c>
      <c r="C25" s="5">
        <v>1761.6618872329177</v>
      </c>
      <c r="D25" s="5">
        <v>7293.252979701183</v>
      </c>
      <c r="E25" s="5">
        <v>4570.7074782877553</v>
      </c>
      <c r="F25" s="5">
        <v>12437.194019649436</v>
      </c>
      <c r="G25" s="5"/>
      <c r="H25" s="5">
        <v>-758.26620108825864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42832.694420480984</v>
      </c>
    </row>
    <row r="26" spans="2:15" x14ac:dyDescent="0.25">
      <c r="B26" s="1">
        <f t="shared" si="0"/>
        <v>2048</v>
      </c>
      <c r="C26" s="5">
        <v>1581.0403219366854</v>
      </c>
      <c r="D26" s="5">
        <v>-35609.031760813356</v>
      </c>
      <c r="E26" s="5">
        <v>65371.712835673432</v>
      </c>
      <c r="F26" s="5">
        <v>12482.537503177165</v>
      </c>
      <c r="G26" s="5"/>
      <c r="H26" s="5">
        <v>-602.83404000731252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14187.758292172577</v>
      </c>
    </row>
    <row r="27" spans="2:15" x14ac:dyDescent="0.25">
      <c r="B27" s="1">
        <f t="shared" si="0"/>
        <v>2049</v>
      </c>
      <c r="C27" s="5">
        <v>1594.5810839558285</v>
      </c>
      <c r="D27" s="5">
        <v>59360.575510655093</v>
      </c>
      <c r="E27" s="5">
        <v>176.52578358770324</v>
      </c>
      <c r="F27" s="5">
        <v>12506.311569243899</v>
      </c>
      <c r="G27" s="5"/>
      <c r="H27" s="5">
        <v>-1196.1556337972008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7000.1831282626235</v>
      </c>
    </row>
    <row r="28" spans="2:15" x14ac:dyDescent="0.25">
      <c r="B28" s="1">
        <f t="shared" si="0"/>
        <v>2050</v>
      </c>
      <c r="C28" s="5">
        <v>1548.3022299844718</v>
      </c>
      <c r="D28" s="5">
        <v>2719.3363901280768</v>
      </c>
      <c r="E28" s="5">
        <v>163.40515541828785</v>
      </c>
      <c r="F28" s="5">
        <v>13315.305306439397</v>
      </c>
      <c r="G28" s="5"/>
      <c r="H28" s="5">
        <v>-1214.4629063774044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6676.8255862494798</v>
      </c>
    </row>
    <row r="29" spans="2:15" x14ac:dyDescent="0.25">
      <c r="B29" s="1">
        <f t="shared" si="0"/>
        <v>2051</v>
      </c>
      <c r="C29" s="5">
        <v>1499.0112710310825</v>
      </c>
      <c r="D29" s="5">
        <v>3000.4974286813199</v>
      </c>
      <c r="E29" s="5">
        <v>115.73315299785321</v>
      </c>
      <c r="F29" s="5">
        <v>15196.065131826799</v>
      </c>
      <c r="G29" s="5"/>
      <c r="H29" s="5">
        <v>-1160.7005546345265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9971.7076869591474</v>
      </c>
    </row>
    <row r="30" spans="2:15" x14ac:dyDescent="0.25">
      <c r="B30" s="1">
        <f t="shared" si="0"/>
        <v>2052</v>
      </c>
      <c r="C30" s="5">
        <v>1790.0151395634389</v>
      </c>
      <c r="D30" s="5">
        <v>6576.6452042020592</v>
      </c>
      <c r="E30" s="5">
        <v>91.809703028503719</v>
      </c>
      <c r="F30" s="5">
        <v>15142.787489691193</v>
      </c>
      <c r="G30" s="5"/>
      <c r="H30" s="5">
        <v>-13756.681779200566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7192.4997346401542</v>
      </c>
    </row>
    <row r="31" spans="2:15" x14ac:dyDescent="0.25">
      <c r="B31" s="1">
        <f t="shared" si="0"/>
        <v>2053</v>
      </c>
      <c r="C31" s="5">
        <v>1235.6059424382429</v>
      </c>
      <c r="D31" s="5">
        <v>2932.0266169418528</v>
      </c>
      <c r="E31" s="5">
        <v>0</v>
      </c>
      <c r="F31" s="5">
        <v>15145.578987082663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</row>
    <row r="32" spans="2:15" x14ac:dyDescent="0.25">
      <c r="B32" s="1">
        <f t="shared" si="0"/>
        <v>2054</v>
      </c>
      <c r="C32" s="5">
        <v>425.02205054119838</v>
      </c>
      <c r="D32" s="5">
        <v>2816.5724967717488</v>
      </c>
      <c r="E32" s="5"/>
      <c r="F32" s="5">
        <v>15129.01252124595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</row>
    <row r="33" spans="2:15" x14ac:dyDescent="0.25">
      <c r="B33" s="1">
        <f t="shared" si="0"/>
        <v>2055</v>
      </c>
      <c r="C33" s="5">
        <v>-3323.1154015438683</v>
      </c>
      <c r="D33" s="5">
        <v>2826.5787744966747</v>
      </c>
      <c r="E33" s="5"/>
      <c r="F33" s="5">
        <v>15883.22232168353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</row>
    <row r="34" spans="2:15" x14ac:dyDescent="0.25">
      <c r="B34" s="1">
        <f t="shared" si="0"/>
        <v>2056</v>
      </c>
      <c r="C34" s="6"/>
      <c r="D34" s="5">
        <v>790.36209178577474</v>
      </c>
      <c r="E34" s="5"/>
      <c r="F34" s="5">
        <v>18309.575189750867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</row>
    <row r="35" spans="2:15" x14ac:dyDescent="0.25">
      <c r="B35" s="1">
        <f t="shared" si="0"/>
        <v>2057</v>
      </c>
      <c r="C35" s="6"/>
      <c r="D35" s="5">
        <v>2176.4750693598044</v>
      </c>
      <c r="E35" s="5"/>
      <c r="F35" s="5">
        <v>14509.833795732029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</row>
    <row r="36" spans="2:15" x14ac:dyDescent="0.25">
      <c r="B36" s="1">
        <f t="shared" si="0"/>
        <v>2058</v>
      </c>
      <c r="C36" s="6"/>
      <c r="D36" s="5">
        <v>1631.8527257679787</v>
      </c>
      <c r="E36" s="5"/>
      <c r="F36" s="5">
        <v>10879.018171786525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</row>
    <row r="37" spans="2:15" x14ac:dyDescent="0.25">
      <c r="B37" s="1">
        <f t="shared" si="0"/>
        <v>2059</v>
      </c>
      <c r="C37" s="6"/>
      <c r="D37" s="5">
        <v>2220.9186253847151</v>
      </c>
      <c r="E37" s="5"/>
      <c r="F37" s="5">
        <v>14806.124169231436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42904.155236536397</v>
      </c>
      <c r="E38" s="5"/>
      <c r="F38" s="5">
        <v>286027.70157690934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9" sqref="D9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/>
      <c r="D7" s="12"/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2026-06-02T18:08:04Z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